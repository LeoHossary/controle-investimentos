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\Documents\Estudo\DIO\Excel com IA\"/>
    </mc:Choice>
  </mc:AlternateContent>
  <xr:revisionPtr revIDLastSave="0" documentId="13_ncr:1_{79D4D9FA-F6E0-4902-A1CE-40F4C1A89BD3}" xr6:coauthVersionLast="47" xr6:coauthVersionMax="47" xr10:uidLastSave="{00000000-0000-0000-0000-000000000000}"/>
  <bookViews>
    <workbookView xWindow="-120" yWindow="-120" windowWidth="20730" windowHeight="11160" tabRatio="0" xr2:uid="{1E953CDE-D2C5-4E58-8826-EF6516C48444}"/>
  </bookViews>
  <sheets>
    <sheet name="Planilha1" sheetId="1" r:id="rId1"/>
    <sheet name="Planilha2" sheetId="2" r:id="rId2"/>
  </sheets>
  <definedNames>
    <definedName name="aporte">Planilha1!$D$18</definedName>
    <definedName name="patrimonio">Planilha1!$D$21</definedName>
    <definedName name="qtd_anos">Planilha1!$D$19</definedName>
    <definedName name="rendimento">Planilha1!$D$13</definedName>
    <definedName name="rendimento_carteira">Planilha1!$D$13</definedName>
    <definedName name="salario">Planilha1!$D$12</definedName>
    <definedName name="sugestao_investimento">Planilha1!$D$14</definedName>
    <definedName name="tx_mensal">Planilha1!$D$20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C39" i="1"/>
  <c r="C40" i="1"/>
  <c r="C41" i="1"/>
  <c r="C42" i="1"/>
  <c r="C43" i="1"/>
  <c r="C38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18" i="1"/>
  <c r="D21" i="1" s="1"/>
  <c r="D22" i="1" s="1"/>
  <c r="C28" i="1" l="1"/>
  <c r="D28" i="1" s="1"/>
  <c r="C26" i="1"/>
  <c r="D26" i="1" s="1"/>
  <c r="C27" i="1"/>
  <c r="D27" i="1" s="1"/>
  <c r="C35" i="1"/>
  <c r="C30" i="1"/>
  <c r="D30" i="1" s="1"/>
  <c r="C29" i="1"/>
  <c r="D29" i="1" s="1"/>
  <c r="D39" i="1" l="1"/>
  <c r="D43" i="1"/>
  <c r="D38" i="1"/>
  <c r="D42" i="1"/>
  <c r="D40" i="1"/>
  <c r="D41" i="1"/>
  <c r="D44" i="1" l="1"/>
</calcChain>
</file>

<file path=xl/sharedStrings.xml><?xml version="1.0" encoding="utf-8"?>
<sst xmlns="http://schemas.openxmlformats.org/spreadsheetml/2006/main" count="69" uniqueCount="35">
  <si>
    <t>INVESTIMENTO MENSAL</t>
  </si>
  <si>
    <t>CONFIGURAÇÕES</t>
  </si>
  <si>
    <t>Salário</t>
  </si>
  <si>
    <t>Quanto investir por mês ?</t>
  </si>
  <si>
    <t>Por quantos anos ?</t>
  </si>
  <si>
    <t>Taxa de rendimento mensal ?</t>
  </si>
  <si>
    <t>Patrimônio acumulado?</t>
  </si>
  <si>
    <t>Dividendos mensais?</t>
  </si>
  <si>
    <t>Quantos em 2 anos?</t>
  </si>
  <si>
    <t>Quantos em 5 anos?</t>
  </si>
  <si>
    <t>Quantos em 10 anos?</t>
  </si>
  <si>
    <t>Quantos em 30 anos?</t>
  </si>
  <si>
    <t>Quantos em 20 anos?</t>
  </si>
  <si>
    <t>Cenários</t>
  </si>
  <si>
    <t>Dividendo</t>
  </si>
  <si>
    <t>Rendimento Carteira</t>
  </si>
  <si>
    <t>Sugestão de Investimento</t>
  </si>
  <si>
    <t>Perfil</t>
  </si>
  <si>
    <t>AGRESSIVO</t>
  </si>
  <si>
    <t>VALOR A SER INVESTIDO POR MÊS</t>
  </si>
  <si>
    <t>PERFIL</t>
  </si>
  <si>
    <t>TIPO DE FII</t>
  </si>
  <si>
    <t xml:space="preserve">Percentual sugerido </t>
  </si>
  <si>
    <t>Valores</t>
  </si>
  <si>
    <t>PAPEL</t>
  </si>
  <si>
    <t>TIJOLO</t>
  </si>
  <si>
    <t>HÍBRIDOS</t>
  </si>
  <si>
    <t>FOF's</t>
  </si>
  <si>
    <t>DESENVOLVIMENTO</t>
  </si>
  <si>
    <t>HOTELARIA</t>
  </si>
  <si>
    <t>Tipo de FII</t>
  </si>
  <si>
    <t>CONSERVADOR</t>
  </si>
  <si>
    <t>Chave</t>
  </si>
  <si>
    <t>MODERADO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</si>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</sst>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Segoe UI"/>
      <family val="2"/>
    </font>
    <font>
      <sz val="11"/>
      <color theme="1"/>
      <name val="Segoe UI"/>
      <family val="2"/>
    </font>
    <font>
      <b/>
      <sz val="20"/>
      <color theme="0"/>
      <name val="Segoe UI"/>
      <family val="2"/>
    </font>
    <font>
      <b/>
      <sz val="20"/>
      <color theme="1"/>
      <name val="Segoe UI"/>
      <family val="2"/>
    </font>
    <font>
      <b/>
      <sz val="11"/>
      <color theme="1"/>
      <name val="Segoe UI"/>
      <family val="2"/>
    </font>
    <font>
      <b/>
      <sz val="16"/>
      <color theme="0"/>
      <name val="Segoe UI"/>
      <family val="2"/>
    </font>
    <font>
      <sz val="11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/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57">
    <xf numFmtId="0" fontId="0" fillId="0" borderId="0" xfId="0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3" borderId="7" xfId="0" applyFont="1" applyFill="1" applyBorder="1" applyAlignment="1">
      <alignment horizontal="left" indent="3"/>
    </xf>
    <xf numFmtId="0" fontId="3" fillId="3" borderId="12" xfId="0" applyFont="1" applyFill="1" applyBorder="1" applyAlignment="1">
      <alignment horizontal="left" indent="3"/>
    </xf>
    <xf numFmtId="165" fontId="3" fillId="0" borderId="8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left" indent="3"/>
    </xf>
    <xf numFmtId="0" fontId="3" fillId="3" borderId="15" xfId="0" applyFont="1" applyFill="1" applyBorder="1" applyAlignment="1">
      <alignment horizontal="left" indent="3"/>
    </xf>
    <xf numFmtId="10" fontId="3" fillId="0" borderId="4" xfId="0" applyNumberFormat="1" applyFont="1" applyBorder="1" applyAlignment="1">
      <alignment horizontal="center"/>
    </xf>
    <xf numFmtId="0" fontId="3" fillId="3" borderId="5" xfId="0" applyFont="1" applyFill="1" applyBorder="1" applyAlignment="1">
      <alignment horizontal="left" indent="3"/>
    </xf>
    <xf numFmtId="0" fontId="3" fillId="3" borderId="20" xfId="0" applyFont="1" applyFill="1" applyBorder="1" applyAlignment="1">
      <alignment horizontal="left" indent="3"/>
    </xf>
    <xf numFmtId="165" fontId="3" fillId="0" borderId="6" xfId="0" applyNumberFormat="1" applyFont="1" applyBorder="1" applyAlignment="1">
      <alignment horizontal="center"/>
    </xf>
    <xf numFmtId="0" fontId="3" fillId="0" borderId="0" xfId="0" applyFont="1"/>
    <xf numFmtId="0" fontId="3" fillId="0" borderId="7" xfId="0" applyFont="1" applyBorder="1" applyAlignment="1">
      <alignment horizontal="left" indent="3"/>
    </xf>
    <xf numFmtId="0" fontId="3" fillId="0" borderId="12" xfId="0" applyFont="1" applyBorder="1" applyAlignment="1">
      <alignment horizontal="left" indent="3"/>
    </xf>
    <xf numFmtId="165" fontId="6" fillId="0" borderId="8" xfId="1" applyNumberFormat="1" applyFont="1" applyBorder="1" applyAlignment="1">
      <alignment horizontal="center"/>
    </xf>
    <xf numFmtId="0" fontId="3" fillId="0" borderId="3" xfId="0" applyFont="1" applyBorder="1" applyAlignment="1">
      <alignment horizontal="left" indent="3"/>
    </xf>
    <xf numFmtId="0" fontId="3" fillId="0" borderId="15" xfId="0" applyFont="1" applyBorder="1" applyAlignment="1">
      <alignment horizontal="left" indent="3"/>
    </xf>
    <xf numFmtId="0" fontId="6" fillId="0" borderId="4" xfId="0" applyFont="1" applyBorder="1" applyAlignment="1">
      <alignment horizontal="center"/>
    </xf>
    <xf numFmtId="10" fontId="6" fillId="0" borderId="4" xfId="2" applyNumberFormat="1" applyFont="1" applyBorder="1" applyAlignment="1">
      <alignment horizontal="center"/>
    </xf>
    <xf numFmtId="0" fontId="6" fillId="3" borderId="3" xfId="0" applyFont="1" applyFill="1" applyBorder="1" applyAlignment="1">
      <alignment horizontal="left" indent="3"/>
    </xf>
    <xf numFmtId="0" fontId="6" fillId="3" borderId="15" xfId="0" applyFont="1" applyFill="1" applyBorder="1" applyAlignment="1">
      <alignment horizontal="left" indent="3"/>
    </xf>
    <xf numFmtId="8" fontId="6" fillId="3" borderId="4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left" indent="3"/>
    </xf>
    <xf numFmtId="0" fontId="6" fillId="3" borderId="20" xfId="0" applyFont="1" applyFill="1" applyBorder="1" applyAlignment="1">
      <alignment horizontal="left" indent="3"/>
    </xf>
    <xf numFmtId="8" fontId="6" fillId="3" borderId="6" xfId="0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left" indent="3"/>
    </xf>
    <xf numFmtId="165" fontId="3" fillId="3" borderId="12" xfId="0" applyNumberFormat="1" applyFont="1" applyFill="1" applyBorder="1" applyAlignment="1">
      <alignment horizontal="center"/>
    </xf>
    <xf numFmtId="165" fontId="3" fillId="3" borderId="13" xfId="0" applyNumberFormat="1" applyFont="1" applyFill="1" applyBorder="1" applyAlignment="1">
      <alignment horizontal="center"/>
    </xf>
    <xf numFmtId="0" fontId="3" fillId="3" borderId="14" xfId="0" applyFont="1" applyFill="1" applyBorder="1" applyAlignment="1">
      <alignment horizontal="left" indent="3"/>
    </xf>
    <xf numFmtId="165" fontId="3" fillId="3" borderId="15" xfId="0" applyNumberFormat="1" applyFont="1" applyFill="1" applyBorder="1" applyAlignment="1">
      <alignment horizontal="center"/>
    </xf>
    <xf numFmtId="165" fontId="3" fillId="3" borderId="16" xfId="0" applyNumberFormat="1" applyFont="1" applyFill="1" applyBorder="1" applyAlignment="1">
      <alignment horizontal="center"/>
    </xf>
    <xf numFmtId="0" fontId="3" fillId="3" borderId="17" xfId="0" applyFont="1" applyFill="1" applyBorder="1" applyAlignment="1">
      <alignment horizontal="left" indent="3"/>
    </xf>
    <xf numFmtId="165" fontId="3" fillId="3" borderId="18" xfId="0" applyNumberFormat="1" applyFont="1" applyFill="1" applyBorder="1" applyAlignment="1">
      <alignment horizontal="center"/>
    </xf>
    <xf numFmtId="165" fontId="3" fillId="3" borderId="19" xfId="0" applyNumberFormat="1" applyFont="1" applyFill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6" fillId="4" borderId="0" xfId="0" applyFont="1" applyFill="1" applyAlignment="1">
      <alignment horizontal="center"/>
    </xf>
    <xf numFmtId="0" fontId="3" fillId="4" borderId="0" xfId="0" applyFont="1" applyFill="1"/>
    <xf numFmtId="165" fontId="6" fillId="4" borderId="0" xfId="0" applyNumberFormat="1" applyFont="1" applyFill="1" applyAlignment="1">
      <alignment horizontal="center"/>
    </xf>
    <xf numFmtId="0" fontId="6" fillId="5" borderId="0" xfId="0" applyFont="1" applyFill="1"/>
    <xf numFmtId="165" fontId="6" fillId="5" borderId="0" xfId="0" applyNumberFormat="1" applyFont="1" applyFill="1" applyAlignment="1">
      <alignment horizontal="center"/>
    </xf>
    <xf numFmtId="165" fontId="3" fillId="5" borderId="0" xfId="0" applyNumberFormat="1" applyFont="1" applyFill="1" applyAlignment="1">
      <alignment horizontal="center"/>
    </xf>
    <xf numFmtId="0" fontId="0" fillId="0" borderId="10" xfId="0" applyBorder="1"/>
    <xf numFmtId="0" fontId="3" fillId="0" borderId="10" xfId="0" applyFont="1" applyBorder="1" applyAlignment="1">
      <alignment horizontal="center"/>
    </xf>
    <xf numFmtId="9" fontId="3" fillId="0" borderId="10" xfId="0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5" fillId="6" borderId="2" xfId="0" applyFont="1" applyFill="1" applyBorder="1"/>
    <xf numFmtId="0" fontId="1" fillId="2" borderId="0" xfId="3"/>
    <xf numFmtId="0" fontId="1" fillId="2" borderId="0" xfId="3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vertical="center"/>
    </xf>
  </cellXfs>
  <cellStyles count="4">
    <cellStyle name="60% - Ênfase1" xfId="3" builtinId="32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C7A1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Planilha1!$C$37</c:f>
              <c:strCache>
                <c:ptCount val="1"/>
                <c:pt idx="0">
                  <c:v>Percentual sugerido 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561-4B73-97B2-82145EF7073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Planilha1!$C$38:$C$43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1-4B73-97B2-82145EF7073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371475</xdr:colOff>
      <xdr:row>0</xdr:row>
      <xdr:rowOff>190501</xdr:rowOff>
    </xdr:from>
    <xdr:to>
      <xdr:col>4</xdr:col>
      <xdr:colOff>228600</xdr:colOff>
      <xdr:row>7</xdr:row>
      <xdr:rowOff>171451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AB4CFE7-C58A-41B4-BD2F-E2EF415CA5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469"/>
        <a:stretch/>
      </xdr:blipFill>
      <xdr:spPr>
        <a:xfrm>
          <a:off x="371475" y="190501"/>
          <a:ext cx="7200900" cy="14478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185737</xdr:rowOff>
    </xdr:from>
    <xdr:to>
      <xdr:col>4</xdr:col>
      <xdr:colOff>0</xdr:colOff>
      <xdr:row>56</xdr:row>
      <xdr:rowOff>204787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F90A594-9642-4D31-B295-1FBF9F19D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28BE-B65D-4277-8C05-EA9743F43EAF}">
  <dimension ref="A1:F59"/>
  <sheetViews>
    <sheetView showGridLines="0" showRowColHeaders="0" tabSelected="1" zoomScaleNormal="100" workbookViewId="0">
      <selection activeCell="D40" sqref="D40"/>
    </sheetView>
  </sheetViews>
  <sheetFormatPr defaultColWidth="0" defaultRowHeight="16.5" zeroHeight="1" x14ac:dyDescent="0.3"/>
  <cols>
    <col min="1" max="1" width="9.140625" style="12" customWidth="1"/>
    <col min="2" max="2" width="58.140625" style="12" customWidth="1"/>
    <col min="3" max="3" width="20.42578125" style="12" customWidth="1"/>
    <col min="4" max="4" width="22.42578125" style="12" customWidth="1"/>
    <col min="5" max="5" width="9.28515625" style="12" customWidth="1"/>
    <col min="6" max="6" width="10.7109375" hidden="1" customWidth="1"/>
    <col min="7" max="7" width="9.140625" hidden="1" customWidth="1"/>
    <col min="8" max="16384" width="9.140625" hidden="1"/>
  </cols>
  <sheetData>
    <row r="1" spans="2:4" x14ac:dyDescent="0.3"/>
    <row r="2" spans="2:4" x14ac:dyDescent="0.3"/>
    <row r="3" spans="2:4" x14ac:dyDescent="0.3"/>
    <row r="4" spans="2:4" x14ac:dyDescent="0.3"/>
    <row r="5" spans="2:4" x14ac:dyDescent="0.3"/>
    <row r="6" spans="2:4" x14ac:dyDescent="0.3"/>
    <row r="7" spans="2:4" x14ac:dyDescent="0.3"/>
    <row r="8" spans="2:4" x14ac:dyDescent="0.3"/>
    <row r="9" spans="2:4" x14ac:dyDescent="0.3"/>
    <row r="10" spans="2:4" ht="17.25" thickBot="1" x14ac:dyDescent="0.35"/>
    <row r="11" spans="2:4" ht="26.25" x14ac:dyDescent="0.3">
      <c r="B11" s="54" t="s">
        <v>1</v>
      </c>
      <c r="C11" s="55"/>
      <c r="D11" s="56"/>
    </row>
    <row r="12" spans="2:4" x14ac:dyDescent="0.3">
      <c r="B12" s="3" t="s">
        <v>2</v>
      </c>
      <c r="C12" s="4"/>
      <c r="D12" s="5">
        <v>1800</v>
      </c>
    </row>
    <row r="13" spans="2:4" x14ac:dyDescent="0.3">
      <c r="B13" s="6" t="s">
        <v>15</v>
      </c>
      <c r="C13" s="7"/>
      <c r="D13" s="8">
        <v>1.0789999999999999E-2</v>
      </c>
    </row>
    <row r="14" spans="2:4" ht="17.25" thickBot="1" x14ac:dyDescent="0.35">
      <c r="B14" s="9" t="s">
        <v>16</v>
      </c>
      <c r="C14" s="10"/>
      <c r="D14" s="11">
        <f>D12*10%</f>
        <v>180</v>
      </c>
    </row>
    <row r="15" spans="2:4" x14ac:dyDescent="0.3"/>
    <row r="16" spans="2:4" ht="17.25" thickBot="1" x14ac:dyDescent="0.35"/>
    <row r="17" spans="1:4" ht="31.5" customHeight="1" x14ac:dyDescent="0.55000000000000004">
      <c r="B17" s="48" t="s">
        <v>0</v>
      </c>
      <c r="C17" s="49"/>
      <c r="D17" s="51"/>
    </row>
    <row r="18" spans="1:4" x14ac:dyDescent="0.3">
      <c r="B18" s="13" t="s">
        <v>3</v>
      </c>
      <c r="C18" s="14"/>
      <c r="D18" s="15">
        <f>sugestao_investimento</f>
        <v>180</v>
      </c>
    </row>
    <row r="19" spans="1:4" x14ac:dyDescent="0.3">
      <c r="B19" s="16" t="s">
        <v>4</v>
      </c>
      <c r="C19" s="17"/>
      <c r="D19" s="18">
        <v>10</v>
      </c>
    </row>
    <row r="20" spans="1:4" x14ac:dyDescent="0.3">
      <c r="B20" s="16" t="s">
        <v>5</v>
      </c>
      <c r="C20" s="17"/>
      <c r="D20" s="19">
        <v>1.0789999999999999E-2</v>
      </c>
    </row>
    <row r="21" spans="1:4" x14ac:dyDescent="0.3">
      <c r="B21" s="20" t="s">
        <v>6</v>
      </c>
      <c r="C21" s="21"/>
      <c r="D21" s="22">
        <f>FV(tx_mensal,qtd_anos*12,aporte*-1)</f>
        <v>43791.158255430993</v>
      </c>
    </row>
    <row r="22" spans="1:4" ht="17.25" thickBot="1" x14ac:dyDescent="0.35">
      <c r="B22" s="23" t="s">
        <v>7</v>
      </c>
      <c r="C22" s="24"/>
      <c r="D22" s="25">
        <f>patrimonio*rendimento_carteira</f>
        <v>472.50659757610038</v>
      </c>
    </row>
    <row r="23" spans="1:4" x14ac:dyDescent="0.3"/>
    <row r="24" spans="1:4" ht="17.25" thickBot="1" x14ac:dyDescent="0.35"/>
    <row r="25" spans="1:4" ht="31.5" customHeight="1" x14ac:dyDescent="0.3">
      <c r="B25" s="48" t="s">
        <v>13</v>
      </c>
      <c r="C25" s="49"/>
      <c r="D25" s="50" t="s">
        <v>14</v>
      </c>
    </row>
    <row r="26" spans="1:4" x14ac:dyDescent="0.3">
      <c r="A26" s="35">
        <v>2</v>
      </c>
      <c r="B26" s="26" t="s">
        <v>8</v>
      </c>
      <c r="C26" s="27">
        <f>FV($D$20,$A26*12,$D$18*-1)</f>
        <v>4900.972913576139</v>
      </c>
      <c r="D26" s="28">
        <f>C26*rendimento_carteira</f>
        <v>52.881497737486534</v>
      </c>
    </row>
    <row r="27" spans="1:4" x14ac:dyDescent="0.3">
      <c r="A27" s="35">
        <v>5</v>
      </c>
      <c r="B27" s="29" t="s">
        <v>9</v>
      </c>
      <c r="C27" s="30">
        <f>FV($D$20,$A27*12,$D$18*-1)</f>
        <v>15079.844519727776</v>
      </c>
      <c r="D27" s="31">
        <f>C27*rendimento_carteira</f>
        <v>162.7115223678627</v>
      </c>
    </row>
    <row r="28" spans="1:4" x14ac:dyDescent="0.3">
      <c r="A28" s="35">
        <v>10</v>
      </c>
      <c r="B28" s="29" t="s">
        <v>10</v>
      </c>
      <c r="C28" s="30">
        <f>FV($D$20,$A28*12,$D$18*-1)</f>
        <v>43791.158255430993</v>
      </c>
      <c r="D28" s="31">
        <f>C28*rendimento_carteira</f>
        <v>472.50659757610038</v>
      </c>
    </row>
    <row r="29" spans="1:4" x14ac:dyDescent="0.3">
      <c r="A29" s="35">
        <v>20</v>
      </c>
      <c r="B29" s="29" t="s">
        <v>12</v>
      </c>
      <c r="C29" s="30">
        <f>FV($D$20,$A29*12,$D$18*-1)</f>
        <v>202535.71201747452</v>
      </c>
      <c r="D29" s="31">
        <f>C29*rendimento_carteira</f>
        <v>2185.3603326685497</v>
      </c>
    </row>
    <row r="30" spans="1:4" ht="17.25" thickBot="1" x14ac:dyDescent="0.35">
      <c r="A30" s="35">
        <v>30</v>
      </c>
      <c r="B30" s="32" t="s">
        <v>11</v>
      </c>
      <c r="C30" s="33">
        <f>FV($D$20,$A30*12,$D$18*-1)</f>
        <v>777990.53790084866</v>
      </c>
      <c r="D30" s="34">
        <f>C30*rendimento_carteira</f>
        <v>8394.5179039501563</v>
      </c>
    </row>
    <row r="31" spans="1:4" x14ac:dyDescent="0.3"/>
    <row r="32" spans="1:4" x14ac:dyDescent="0.3"/>
    <row r="33" spans="2:4" x14ac:dyDescent="0.3"/>
    <row r="34" spans="2:4" x14ac:dyDescent="0.3">
      <c r="B34" s="52" t="s">
        <v>20</v>
      </c>
      <c r="C34" s="53" t="s">
        <v>18</v>
      </c>
      <c r="D34" s="52"/>
    </row>
    <row r="35" spans="2:4" x14ac:dyDescent="0.3">
      <c r="B35" s="41" t="s">
        <v>19</v>
      </c>
      <c r="C35" s="42">
        <f>aporte</f>
        <v>180</v>
      </c>
      <c r="D35" s="41"/>
    </row>
    <row r="36" spans="2:4" x14ac:dyDescent="0.3"/>
    <row r="37" spans="2:4" x14ac:dyDescent="0.3">
      <c r="B37" s="38" t="s">
        <v>21</v>
      </c>
      <c r="C37" s="38" t="s">
        <v>22</v>
      </c>
      <c r="D37" s="38" t="s">
        <v>23</v>
      </c>
    </row>
    <row r="38" spans="2:4" x14ac:dyDescent="0.3">
      <c r="B38" s="36" t="s">
        <v>24</v>
      </c>
      <c r="C38" s="37">
        <f>VLOOKUP($C$34&amp;"-"&amp;B38,Planilha2!A:D,4,FALSE)</f>
        <v>0.5</v>
      </c>
      <c r="D38" s="43">
        <f>$C$35*C38</f>
        <v>90</v>
      </c>
    </row>
    <row r="39" spans="2:4" x14ac:dyDescent="0.3">
      <c r="B39" s="36" t="s">
        <v>25</v>
      </c>
      <c r="C39" s="37">
        <f>VLOOKUP($C$34&amp;"-"&amp;B39,Planilha2!A:D,4,FALSE)</f>
        <v>0.1</v>
      </c>
      <c r="D39" s="43">
        <f>$C$35*C39</f>
        <v>18</v>
      </c>
    </row>
    <row r="40" spans="2:4" x14ac:dyDescent="0.3">
      <c r="B40" s="36" t="s">
        <v>26</v>
      </c>
      <c r="C40" s="37">
        <f>VLOOKUP($C$34&amp;"-"&amp;B40,Planilha2!A:D,4,FALSE)</f>
        <v>0.05</v>
      </c>
      <c r="D40" s="43">
        <f>$C$35*C40</f>
        <v>9</v>
      </c>
    </row>
    <row r="41" spans="2:4" x14ac:dyDescent="0.3">
      <c r="B41" s="36" t="s">
        <v>27</v>
      </c>
      <c r="C41" s="37">
        <f>VLOOKUP($C$34&amp;"-"&amp;B41,Planilha2!A:D,4,FALSE)</f>
        <v>0.05</v>
      </c>
      <c r="D41" s="43">
        <f>$C$35*C41</f>
        <v>9</v>
      </c>
    </row>
    <row r="42" spans="2:4" x14ac:dyDescent="0.3">
      <c r="B42" s="36" t="s">
        <v>28</v>
      </c>
      <c r="C42" s="37">
        <f>VLOOKUP($C$34&amp;"-"&amp;B42,Planilha2!A:D,4,FALSE)</f>
        <v>0.2</v>
      </c>
      <c r="D42" s="43">
        <f>$C$35*C42</f>
        <v>36</v>
      </c>
    </row>
    <row r="43" spans="2:4" x14ac:dyDescent="0.3">
      <c r="B43" s="36" t="s">
        <v>29</v>
      </c>
      <c r="C43" s="37">
        <f>VLOOKUP($C$34&amp;"-"&amp;B43,Planilha2!A:D,4,FALSE)</f>
        <v>0.1</v>
      </c>
      <c r="D43" s="43">
        <f>$C$35*C43</f>
        <v>18</v>
      </c>
    </row>
    <row r="44" spans="2:4" x14ac:dyDescent="0.3">
      <c r="B44" s="39"/>
      <c r="C44" s="39"/>
      <c r="D44" s="40">
        <f>SUM(D38:D43)</f>
        <v>180</v>
      </c>
    </row>
    <row r="45" spans="2:4" x14ac:dyDescent="0.3"/>
    <row r="46" spans="2:4" x14ac:dyDescent="0.3"/>
    <row r="47" spans="2:4" x14ac:dyDescent="0.3"/>
    <row r="48" spans="2:4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ht="15" hidden="1" customHeight="1" x14ac:dyDescent="0.3"/>
  </sheetData>
  <mergeCells count="11">
    <mergeCell ref="B21:C21"/>
    <mergeCell ref="B22:C22"/>
    <mergeCell ref="B25:C25"/>
    <mergeCell ref="B11:C11"/>
    <mergeCell ref="B12:C12"/>
    <mergeCell ref="B13:C13"/>
    <mergeCell ref="B14:C14"/>
    <mergeCell ref="B17:C17"/>
    <mergeCell ref="B18:C18"/>
    <mergeCell ref="B19:C19"/>
    <mergeCell ref="B20:C20"/>
  </mergeCells>
  <dataValidations count="1">
    <dataValidation type="list" allowBlank="1" showInputMessage="1" showErrorMessage="1" sqref="C34" xr:uid="{D45F047A-6E65-4E62-9B3F-A3C6364F406E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3B50-2091-4F43-AF07-313FEDBE1C6F}">
  <dimension ref="A2:D20"/>
  <sheetViews>
    <sheetView workbookViewId="0">
      <selection activeCell="F7" sqref="F7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20.85546875" bestFit="1" customWidth="1"/>
    <col min="4" max="4" width="11.42578125" bestFit="1" customWidth="1"/>
  </cols>
  <sheetData>
    <row r="2" spans="1:4" x14ac:dyDescent="0.25">
      <c r="A2" s="2" t="s">
        <v>32</v>
      </c>
      <c r="B2" s="2" t="s">
        <v>17</v>
      </c>
      <c r="C2" s="2" t="s">
        <v>30</v>
      </c>
      <c r="D2" s="2" t="s">
        <v>34</v>
      </c>
    </row>
    <row r="3" spans="1:4" ht="16.5" x14ac:dyDescent="0.3">
      <c r="A3" t="str">
        <f>B3&amp;"-"&amp;C3</f>
        <v>CONSERVADOR-PAPEL</v>
      </c>
      <c r="B3" t="s">
        <v>31</v>
      </c>
      <c r="C3" s="36" t="s">
        <v>24</v>
      </c>
      <c r="D3" s="37">
        <v>0.3</v>
      </c>
    </row>
    <row r="4" spans="1:4" ht="16.5" x14ac:dyDescent="0.3">
      <c r="A4" t="str">
        <f t="shared" ref="A4:A20" si="0">B4&amp;"-"&amp;C4</f>
        <v>CONSERVADOR-TIJOLO</v>
      </c>
      <c r="B4" t="s">
        <v>31</v>
      </c>
      <c r="C4" s="36" t="s">
        <v>25</v>
      </c>
      <c r="D4" s="37">
        <v>0.5</v>
      </c>
    </row>
    <row r="5" spans="1:4" ht="16.5" x14ac:dyDescent="0.3">
      <c r="A5" t="str">
        <f t="shared" si="0"/>
        <v>CONSERVADOR-HÍBRIDOS</v>
      </c>
      <c r="B5" t="s">
        <v>31</v>
      </c>
      <c r="C5" s="36" t="s">
        <v>26</v>
      </c>
      <c r="D5" s="37">
        <v>0.1</v>
      </c>
    </row>
    <row r="6" spans="1:4" ht="16.5" x14ac:dyDescent="0.3">
      <c r="A6" t="str">
        <f t="shared" si="0"/>
        <v>CONSERVADOR-FOF's</v>
      </c>
      <c r="B6" t="s">
        <v>31</v>
      </c>
      <c r="C6" s="36" t="s">
        <v>27</v>
      </c>
      <c r="D6" s="37">
        <v>0.1</v>
      </c>
    </row>
    <row r="7" spans="1:4" ht="16.5" x14ac:dyDescent="0.3">
      <c r="A7" t="str">
        <f t="shared" si="0"/>
        <v>CONSERVADOR-DESENVOLVIMENTO</v>
      </c>
      <c r="B7" t="s">
        <v>31</v>
      </c>
      <c r="C7" s="36" t="s">
        <v>28</v>
      </c>
      <c r="D7" s="37">
        <v>0</v>
      </c>
    </row>
    <row r="8" spans="1:4" ht="17.25" thickBot="1" x14ac:dyDescent="0.35">
      <c r="A8" s="44" t="str">
        <f t="shared" si="0"/>
        <v>CONSERVADOR-HOTELARIA</v>
      </c>
      <c r="B8" s="44" t="s">
        <v>31</v>
      </c>
      <c r="C8" s="45" t="s">
        <v>29</v>
      </c>
      <c r="D8" s="46">
        <v>0</v>
      </c>
    </row>
    <row r="9" spans="1:4" ht="16.5" x14ac:dyDescent="0.3">
      <c r="A9" t="str">
        <f t="shared" si="0"/>
        <v>MODERADO-PAPEL</v>
      </c>
      <c r="B9" t="s">
        <v>33</v>
      </c>
      <c r="C9" s="36" t="s">
        <v>24</v>
      </c>
      <c r="D9" s="1">
        <v>0.32</v>
      </c>
    </row>
    <row r="10" spans="1:4" ht="16.5" x14ac:dyDescent="0.3">
      <c r="A10" t="str">
        <f t="shared" si="0"/>
        <v>MODERADO-TIJOLO</v>
      </c>
      <c r="B10" t="s">
        <v>33</v>
      </c>
      <c r="C10" s="36" t="s">
        <v>25</v>
      </c>
      <c r="D10" s="1">
        <v>0.4</v>
      </c>
    </row>
    <row r="11" spans="1:4" ht="16.5" x14ac:dyDescent="0.3">
      <c r="A11" t="str">
        <f t="shared" si="0"/>
        <v>MODERADO-HÍBRIDOS</v>
      </c>
      <c r="B11" t="s">
        <v>33</v>
      </c>
      <c r="C11" s="36" t="s">
        <v>26</v>
      </c>
      <c r="D11" s="1">
        <v>0.1</v>
      </c>
    </row>
    <row r="12" spans="1:4" ht="16.5" x14ac:dyDescent="0.3">
      <c r="A12" t="str">
        <f t="shared" si="0"/>
        <v>MODERADO-FOF's</v>
      </c>
      <c r="B12" t="s">
        <v>33</v>
      </c>
      <c r="C12" s="36" t="s">
        <v>27</v>
      </c>
      <c r="D12" s="1">
        <v>0.08</v>
      </c>
    </row>
    <row r="13" spans="1:4" ht="16.5" x14ac:dyDescent="0.3">
      <c r="A13" t="str">
        <f t="shared" si="0"/>
        <v>MODERADO-DESENVOLVIMENTO</v>
      </c>
      <c r="B13" t="s">
        <v>33</v>
      </c>
      <c r="C13" s="36" t="s">
        <v>28</v>
      </c>
      <c r="D13" s="1">
        <v>0.05</v>
      </c>
    </row>
    <row r="14" spans="1:4" ht="17.25" thickBot="1" x14ac:dyDescent="0.35">
      <c r="A14" s="44" t="str">
        <f t="shared" si="0"/>
        <v>MODERADO-HOTELARIA</v>
      </c>
      <c r="B14" s="44" t="s">
        <v>33</v>
      </c>
      <c r="C14" s="45" t="s">
        <v>29</v>
      </c>
      <c r="D14" s="47">
        <v>0.05</v>
      </c>
    </row>
    <row r="15" spans="1:4" ht="16.5" x14ac:dyDescent="0.3">
      <c r="A15" t="str">
        <f t="shared" si="0"/>
        <v>AGRESSIVO-PAPEL</v>
      </c>
      <c r="B15" t="s">
        <v>18</v>
      </c>
      <c r="C15" s="36" t="s">
        <v>24</v>
      </c>
      <c r="D15" s="1">
        <v>0.5</v>
      </c>
    </row>
    <row r="16" spans="1:4" ht="16.5" x14ac:dyDescent="0.3">
      <c r="A16" t="str">
        <f t="shared" si="0"/>
        <v>AGRESSIVO-TIJOLO</v>
      </c>
      <c r="B16" t="s">
        <v>18</v>
      </c>
      <c r="C16" s="36" t="s">
        <v>25</v>
      </c>
      <c r="D16" s="1">
        <v>0.1</v>
      </c>
    </row>
    <row r="17" spans="1:4" ht="16.5" x14ac:dyDescent="0.3">
      <c r="A17" t="str">
        <f t="shared" si="0"/>
        <v>AGRESSIVO-HÍBRIDOS</v>
      </c>
      <c r="B17" t="s">
        <v>18</v>
      </c>
      <c r="C17" s="36" t="s">
        <v>26</v>
      </c>
      <c r="D17" s="1">
        <v>0.05</v>
      </c>
    </row>
    <row r="18" spans="1:4" ht="16.5" x14ac:dyDescent="0.3">
      <c r="A18" t="str">
        <f t="shared" si="0"/>
        <v>AGRESSIVO-FOF's</v>
      </c>
      <c r="B18" t="s">
        <v>18</v>
      </c>
      <c r="C18" s="36" t="s">
        <v>27</v>
      </c>
      <c r="D18" s="1">
        <v>0.05</v>
      </c>
    </row>
    <row r="19" spans="1:4" ht="16.5" x14ac:dyDescent="0.3">
      <c r="A19" t="str">
        <f t="shared" si="0"/>
        <v>AGRESSIVO-DESENVOLVIMENTO</v>
      </c>
      <c r="B19" t="s">
        <v>18</v>
      </c>
      <c r="C19" s="36" t="s">
        <v>28</v>
      </c>
      <c r="D19" s="1">
        <v>0.2</v>
      </c>
    </row>
    <row r="20" spans="1:4" ht="16.5" x14ac:dyDescent="0.3">
      <c r="A20" t="str">
        <f t="shared" si="0"/>
        <v>AGRESSIVO-HOTELARIA</v>
      </c>
      <c r="B20" t="s">
        <v>18</v>
      </c>
      <c r="C20" s="36" t="s">
        <v>29</v>
      </c>
      <c r="D20" s="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Planilha2</vt:lpstr>
      <vt:lpstr>aporte</vt:lpstr>
      <vt:lpstr>patrimonio</vt:lpstr>
      <vt:lpstr>qtd_anos</vt:lpstr>
      <vt:lpstr>rendimento</vt:lpstr>
      <vt:lpstr>rendimento_carteira</vt:lpstr>
      <vt:lpstr>salario</vt:lpstr>
      <vt:lpstr>sugestao_investimento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</dc:creator>
  <cp:lastModifiedBy>TIAGO</cp:lastModifiedBy>
  <dcterms:created xsi:type="dcterms:W3CDTF">2026-02-04T22:11:06Z</dcterms:created>
  <dcterms:modified xsi:type="dcterms:W3CDTF">2026-02-06T21:46:08Z</dcterms:modified>
</cp:coreProperties>
</file>